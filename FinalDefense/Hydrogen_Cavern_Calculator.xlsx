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2 Cavern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%"/>
    <numFmt numFmtId="167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1"/>
    </font>
    <font>
      <b val="1"/>
      <color rgb="007F6000"/>
    </font>
    <font>
      <name val="Calibri"/>
      <i val="1"/>
      <color rgb="00555555"/>
      <sz val="10"/>
    </font>
    <font>
      <name val="Calibri"/>
      <i val="1"/>
      <color rgb="00666666"/>
      <sz val="9"/>
    </font>
    <font>
      <name val="Calibri"/>
      <b val="1"/>
      <sz val="11"/>
    </font>
    <font>
      <name val="Calibri"/>
      <b val="1"/>
      <color rgb="001F4E20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7" fontId="9" fillId="5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52" customWidth="1" min="4" max="4"/>
  </cols>
  <sheetData>
    <row r="1" ht="26" customHeight="1">
      <c r="A1" s="1" t="inlineStr">
        <is>
          <t>Hydrogen Salt Cavern  —  Energy Content Calculator</t>
        </is>
      </c>
    </row>
    <row r="2" ht="16" customHeight="1">
      <c r="A2" s="2" t="inlineStr">
        <is>
          <t>Change the yellow INPUT cells. Everything else updates automatically. Real-gas density via the Abel-Noble equation of state.</t>
        </is>
      </c>
    </row>
    <row r="4">
      <c r="A4" s="3" t="inlineStr">
        <is>
          <t>1 · INPUTS  (edit these)</t>
        </is>
      </c>
    </row>
    <row r="5">
      <c r="A5" s="4" t="inlineStr">
        <is>
          <t>Cavern volume</t>
        </is>
      </c>
      <c r="B5" s="5" t="n">
        <v>1200000</v>
      </c>
      <c r="C5" s="6" t="inlineStr">
        <is>
          <t>m³</t>
        </is>
      </c>
      <c r="D5" s="7" t="inlineStr">
        <is>
          <t>Geometric volume of the cavern.</t>
        </is>
      </c>
    </row>
    <row r="6">
      <c r="A6" s="4" t="inlineStr">
        <is>
          <t>In-situ temperature</t>
        </is>
      </c>
      <c r="B6" s="8" t="n">
        <v>45</v>
      </c>
      <c r="C6" s="6" t="inlineStr">
        <is>
          <t>°C</t>
        </is>
      </c>
      <c r="D6" s="7" t="inlineStr">
        <is>
          <t>Salt/gas temperature at cavern depth.</t>
        </is>
      </c>
    </row>
    <row r="7">
      <c r="A7" s="4" t="inlineStr">
        <is>
          <t>Min operating pressure</t>
        </is>
      </c>
      <c r="B7" s="5" t="n">
        <v>70</v>
      </c>
      <c r="C7" s="6" t="inlineStr">
        <is>
          <t>bar</t>
        </is>
      </c>
      <c r="D7" s="7" t="inlineStr">
        <is>
          <t>Lower pressure of the cycle (sets cushion gas + dilatancy limit).</t>
        </is>
      </c>
    </row>
    <row r="8">
      <c r="A8" s="4" t="inlineStr">
        <is>
          <t>Max operating pressure</t>
        </is>
      </c>
      <c r="B8" s="5" t="n">
        <v>190</v>
      </c>
      <c r="C8" s="6" t="inlineStr">
        <is>
          <t>bar</t>
        </is>
      </c>
      <c r="D8" s="7" t="inlineStr">
        <is>
          <t>Upper pressure (~80% of lithostatic to avoid fracturing).</t>
        </is>
      </c>
    </row>
    <row r="9">
      <c r="A9" s="4" t="inlineStr">
        <is>
          <t>Household electricity use</t>
        </is>
      </c>
      <c r="B9" s="5" t="n">
        <v>2900</v>
      </c>
      <c r="C9" s="6" t="inlineStr">
        <is>
          <t>kWh/yr</t>
        </is>
      </c>
      <c r="D9" s="7" t="inlineStr">
        <is>
          <t>Average Dutch household, for the comparison.</t>
        </is>
      </c>
    </row>
    <row r="11">
      <c r="A11" s="3" t="inlineStr">
        <is>
          <t>2 · CONSTANTS  (hydrogen &amp; physics)</t>
        </is>
      </c>
    </row>
    <row r="12">
      <c r="A12" s="4" t="inlineStr">
        <is>
          <t>Molar mass  M</t>
        </is>
      </c>
      <c r="B12" s="9" t="n">
        <v>0.002016</v>
      </c>
      <c r="C12" s="6" t="inlineStr">
        <is>
          <t>kg/mol</t>
        </is>
      </c>
      <c r="D12" s="7" t="inlineStr">
        <is>
          <t>H₂ molar mass.</t>
        </is>
      </c>
    </row>
    <row r="13">
      <c r="A13" s="4" t="inlineStr">
        <is>
          <t>Universal gas constant  R</t>
        </is>
      </c>
      <c r="B13" s="9" t="n">
        <v>8.314</v>
      </c>
      <c r="C13" s="6" t="inlineStr">
        <is>
          <t>J/mol·K</t>
        </is>
      </c>
      <c r="D13" s="7" t="inlineStr"/>
    </row>
    <row r="14">
      <c r="A14" s="4" t="inlineStr">
        <is>
          <t>Specific gas constant  Rs = R/M</t>
        </is>
      </c>
      <c r="B14" s="10">
        <f>B13/B12</f>
        <v/>
      </c>
      <c r="C14" s="6" t="inlineStr">
        <is>
          <t>J/kg·K</t>
        </is>
      </c>
      <c r="D14" s="7" t="inlineStr">
        <is>
          <t>Per-kg gas constant for hydrogen.</t>
        </is>
      </c>
    </row>
    <row r="15">
      <c r="A15" s="4" t="inlineStr">
        <is>
          <t>Abel-Noble co-volume  b</t>
        </is>
      </c>
      <c r="B15" s="9" t="n">
        <v>0.007691</v>
      </c>
      <c r="C15" s="6" t="inlineStr">
        <is>
          <t>m³/kg</t>
        </is>
      </c>
      <c r="D15" s="7" t="inlineStr">
        <is>
          <t>Real-gas constant: the volume H₂ molecules themselves occupy.</t>
        </is>
      </c>
    </row>
    <row r="16">
      <c r="A16" s="4" t="inlineStr">
        <is>
          <t>Lower heating value  LHV</t>
        </is>
      </c>
      <c r="B16" s="9" t="n">
        <v>120</v>
      </c>
      <c r="C16" s="6" t="inlineStr">
        <is>
          <t>MJ/kg</t>
        </is>
      </c>
      <c r="D16" s="7" t="inlineStr">
        <is>
          <t>Usable/deliverable energy per kg H₂.</t>
        </is>
      </c>
    </row>
    <row r="17">
      <c r="A17" s="4" t="inlineStr">
        <is>
          <t>Higher heating value  HHV</t>
        </is>
      </c>
      <c r="B17" s="9" t="n">
        <v>142</v>
      </c>
      <c r="C17" s="6" t="inlineStr">
        <is>
          <t>MJ/kg</t>
        </is>
      </c>
      <c r="D17" s="7" t="inlineStr">
        <is>
          <t>Total energy incl. latent heat of water vapour.</t>
        </is>
      </c>
    </row>
    <row r="19">
      <c r="A19" s="3" t="inlineStr">
        <is>
          <t>3 · DERIVED CONDITIONS</t>
        </is>
      </c>
    </row>
    <row r="20">
      <c r="A20" s="4" t="inlineStr">
        <is>
          <t>Temperature  T</t>
        </is>
      </c>
      <c r="B20" s="11">
        <f>B6+273.15</f>
        <v/>
      </c>
      <c r="C20" s="6" t="inlineStr">
        <is>
          <t>K</t>
        </is>
      </c>
      <c r="D20" s="7">
        <f> °C + 273.15</f>
        <v/>
      </c>
    </row>
    <row r="21">
      <c r="A21" s="4" t="inlineStr">
        <is>
          <t>Min pressure</t>
        </is>
      </c>
      <c r="B21" s="10">
        <f>B7*100000</f>
        <v/>
      </c>
      <c r="C21" s="6" t="inlineStr">
        <is>
          <t>Pa</t>
        </is>
      </c>
      <c r="D21" s="7">
        <f> bar × 1e5</f>
        <v/>
      </c>
    </row>
    <row r="22">
      <c r="A22" s="4" t="inlineStr">
        <is>
          <t>Max pressure</t>
        </is>
      </c>
      <c r="B22" s="10">
        <f>B8*100000</f>
        <v/>
      </c>
      <c r="C22" s="6" t="inlineStr">
        <is>
          <t>Pa</t>
        </is>
      </c>
      <c r="D22" s="7">
        <f> bar × 1e5</f>
        <v/>
      </c>
    </row>
    <row r="24">
      <c r="A24" s="3" t="inlineStr">
        <is>
          <t>4 · GAS DENSITY  (Abel-Noble real-gas EOS:  ρ = P / (Rs·T + P·b) )</t>
        </is>
      </c>
    </row>
    <row r="25">
      <c r="A25" s="4" t="inlineStr">
        <is>
          <t>Density at min pressure</t>
        </is>
      </c>
      <c r="B25" s="12">
        <f>B21/(B14*B20+B21*B15)</f>
        <v/>
      </c>
      <c r="C25" s="6" t="inlineStr">
        <is>
          <t>kg/m³</t>
        </is>
      </c>
      <c r="D25" s="7" t="inlineStr">
        <is>
          <t>How much H₂ packs into 1 m³ at the low pressure.</t>
        </is>
      </c>
    </row>
    <row r="26">
      <c r="A26" s="4" t="inlineStr">
        <is>
          <t>Density at max pressure</t>
        </is>
      </c>
      <c r="B26" s="12">
        <f>B22/(B14*B20+B22*B15)</f>
        <v/>
      </c>
      <c r="C26" s="6" t="inlineStr">
        <is>
          <t>kg/m³</t>
        </is>
      </c>
      <c r="D26" s="7" t="inlineStr">
        <is>
          <t>Same at the high pressure.</t>
        </is>
      </c>
    </row>
    <row r="27">
      <c r="A27" s="4" t="inlineStr">
        <is>
          <t>(Ideal-gas density at max, for ref.)</t>
        </is>
      </c>
      <c r="B27" s="12">
        <f>B22/(B14*B20)</f>
        <v/>
      </c>
      <c r="C27" s="6" t="inlineStr">
        <is>
          <t>kg/m³</t>
        </is>
      </c>
      <c r="D27" s="7" t="inlineStr">
        <is>
          <t>What you'd get ignoring real-gas effects (overestimate).</t>
        </is>
      </c>
    </row>
    <row r="28">
      <c r="A28" s="4" t="inlineStr">
        <is>
          <t>Real-gas factor  Z at max</t>
        </is>
      </c>
      <c r="B28" s="12">
        <f>B27/B26</f>
        <v/>
      </c>
      <c r="C28" s="6" t="inlineStr">
        <is>
          <t>–</t>
        </is>
      </c>
      <c r="D28" s="7" t="inlineStr">
        <is>
          <t>Z&gt;1: H₂ is LESS compressible than ideal; ignoring it overcounts mass by ~(Z−1).</t>
        </is>
      </c>
    </row>
    <row r="30">
      <c r="A30" s="3" t="inlineStr">
        <is>
          <t>5 · HYDROGEN MASS</t>
        </is>
      </c>
    </row>
    <row r="31">
      <c r="A31" s="4" t="inlineStr">
        <is>
          <t>Total H₂ stored (at max P)</t>
        </is>
      </c>
      <c r="B31" s="10">
        <f>B26*B5</f>
        <v/>
      </c>
      <c r="C31" s="6" t="inlineStr">
        <is>
          <t>kg</t>
        </is>
      </c>
      <c r="D31" s="7" t="inlineStr">
        <is>
          <t>All the gas in the cavern when full.</t>
        </is>
      </c>
    </row>
    <row r="32">
      <c r="A32" s="4" t="inlineStr">
        <is>
          <t xml:space="preserve">   …in tonnes</t>
        </is>
      </c>
      <c r="B32" s="10">
        <f>B31/1000</f>
        <v/>
      </c>
      <c r="C32" s="6" t="inlineStr">
        <is>
          <t>t</t>
        </is>
      </c>
      <c r="D32" s="7" t="inlineStr"/>
    </row>
    <row r="33">
      <c r="A33" s="4" t="inlineStr">
        <is>
          <t>Cushion gas (stays at min P)</t>
        </is>
      </c>
      <c r="B33" s="10">
        <f>B25*B5</f>
        <v/>
      </c>
      <c r="C33" s="6" t="inlineStr">
        <is>
          <t>kg</t>
        </is>
      </c>
      <c r="D33" s="7" t="inlineStr">
        <is>
          <t>Permanent gas that keeps the cavern pressurised — never withdrawn.</t>
        </is>
      </c>
    </row>
    <row r="34">
      <c r="A34" s="4" t="inlineStr">
        <is>
          <t xml:space="preserve">   …in tonnes</t>
        </is>
      </c>
      <c r="B34" s="10">
        <f>B33/1000</f>
        <v/>
      </c>
      <c r="C34" s="6" t="inlineStr">
        <is>
          <t>t</t>
        </is>
      </c>
      <c r="D34" s="7" t="inlineStr"/>
    </row>
    <row r="35">
      <c r="A35" s="4" t="inlineStr">
        <is>
          <t>Working gas (recoverable)</t>
        </is>
      </c>
      <c r="B35" s="10">
        <f>B31-B33</f>
        <v/>
      </c>
      <c r="C35" s="6" t="inlineStr">
        <is>
          <t>kg</t>
        </is>
      </c>
      <c r="D35" s="7" t="inlineStr">
        <is>
          <t>What you actually inject &amp; withdraw each cycle.</t>
        </is>
      </c>
    </row>
    <row r="36">
      <c r="A36" s="4" t="inlineStr">
        <is>
          <t xml:space="preserve">   …in tonnes</t>
        </is>
      </c>
      <c r="B36" s="10">
        <f>B35/1000</f>
        <v/>
      </c>
      <c r="C36" s="6" t="inlineStr">
        <is>
          <t>t</t>
        </is>
      </c>
      <c r="D36" s="7" t="inlineStr"/>
    </row>
    <row r="37">
      <c r="A37" s="4" t="inlineStr">
        <is>
          <t>Cushion-gas fraction</t>
        </is>
      </c>
      <c r="B37" s="13">
        <f>B33/B31</f>
        <v/>
      </c>
      <c r="C37" s="6" t="inlineStr">
        <is>
          <t>–</t>
        </is>
      </c>
      <c r="D37" s="7" t="inlineStr">
        <is>
          <t>Share of total gas tied up as cushion.</t>
        </is>
      </c>
    </row>
    <row r="39">
      <c r="A39" s="3" t="inlineStr">
        <is>
          <t>6 · ENERGY CONTENT   (Energy[GWh] = mass[kg] × CV[MJ/kg] / 3.6e6)</t>
        </is>
      </c>
    </row>
    <row r="40">
      <c r="A40" s="14" t="inlineStr">
        <is>
          <t>TOTAL stored energy (HHV)</t>
        </is>
      </c>
      <c r="B40" s="15">
        <f>B31*B17/3600000</f>
        <v/>
      </c>
      <c r="C40" s="6" t="inlineStr">
        <is>
          <t>GWh</t>
        </is>
      </c>
      <c r="D40" s="7" t="inlineStr">
        <is>
          <t>Total energy in the full cavern — the headline “how big” number.</t>
        </is>
      </c>
    </row>
    <row r="41">
      <c r="A41" s="4" t="inlineStr">
        <is>
          <t>Total stored energy (LHV)</t>
        </is>
      </c>
      <c r="B41" s="16">
        <f>B31*B16/3600000</f>
        <v/>
      </c>
      <c r="C41" s="6" t="inlineStr">
        <is>
          <t>GWh</t>
        </is>
      </c>
      <c r="D41" s="7" t="inlineStr"/>
    </row>
    <row r="42">
      <c r="A42" s="14" t="inlineStr">
        <is>
          <t>WORKING (deliverable) energy (LHV)</t>
        </is>
      </c>
      <c r="B42" s="15">
        <f>B35*B16/3600000</f>
        <v/>
      </c>
      <c r="C42" s="6" t="inlineStr">
        <is>
          <t>GWh</t>
        </is>
      </c>
      <c r="D42" s="7" t="inlineStr">
        <is>
          <t>Usable energy you can actually cycle — the honest “useful” number.</t>
        </is>
      </c>
    </row>
    <row r="43">
      <c r="A43" s="4" t="inlineStr">
        <is>
          <t>Working (deliverable) energy (HHV)</t>
        </is>
      </c>
      <c r="B43" s="16">
        <f>B35*B17/3600000</f>
        <v/>
      </c>
      <c r="C43" s="6" t="inlineStr">
        <is>
          <t>GWh</t>
        </is>
      </c>
      <c r="D43" s="7" t="inlineStr"/>
    </row>
    <row r="44">
      <c r="A44" s="4" t="inlineStr">
        <is>
          <t>TOTAL stored energy (HHV)</t>
        </is>
      </c>
      <c r="B44" s="16">
        <f>B31*B17/3600000</f>
        <v/>
      </c>
      <c r="C44" s="6" t="inlineStr">
        <is>
          <t>GWh</t>
        </is>
      </c>
      <c r="D44" s="7" t="inlineStr">
        <is>
          <t>(repeated for the comparisons below)</t>
        </is>
      </c>
    </row>
    <row r="46">
      <c r="A46" s="3" t="inlineStr">
        <is>
          <t>7 · WHAT IT MEANS</t>
        </is>
      </c>
    </row>
    <row r="47">
      <c r="A47" s="14" t="inlineStr">
        <is>
          <t>Homes powered for 1 YEAR (working, LHV)</t>
        </is>
      </c>
      <c r="B47" s="17">
        <f>B42*1000000/B9</f>
        <v/>
      </c>
      <c r="C47" s="6" t="inlineStr">
        <is>
          <t>homes</t>
        </is>
      </c>
      <c r="D47" s="7" t="inlineStr">
        <is>
          <t>Working energy ÷ annual household use.</t>
        </is>
      </c>
    </row>
    <row r="48">
      <c r="A48" s="4" t="inlineStr">
        <is>
          <t>Homes powered for 1 WEEK (working, LHV)</t>
        </is>
      </c>
      <c r="B48" s="10">
        <f>B42*1000000/(B9/52)</f>
        <v/>
      </c>
      <c r="C48" s="6" t="inlineStr">
        <is>
          <t>homes</t>
        </is>
      </c>
      <c r="D48" s="7" t="inlineStr">
        <is>
          <t>Bridging a windless week — the seasonal-storage use case.</t>
        </is>
      </c>
    </row>
    <row r="49">
      <c r="A49" s="14" t="inlineStr">
        <is>
          <t>× world's largest battery (total, HHV)</t>
        </is>
      </c>
      <c r="B49" s="15">
        <f>B44/3</f>
        <v/>
      </c>
      <c r="C49" s="6" t="inlineStr">
        <is>
          <t>× bigger</t>
        </is>
      </c>
      <c r="D49" s="7" t="inlineStr">
        <is>
          <t>Total stored energy ÷ 3 GWh (Moss Landing, the biggest battery farm).</t>
        </is>
      </c>
    </row>
    <row r="51">
      <c r="A51" s="3" t="inlineStr">
        <is>
          <t>NOTES</t>
        </is>
      </c>
    </row>
    <row r="52">
      <c r="A52" s="18" t="inlineStr">
        <is>
          <t>• TOTAL stored (HHV) ≈ the “~600 GWh” headline; WORKING (LHV) ≈ what you can actually deliver each cycle.</t>
        </is>
      </c>
    </row>
    <row r="53">
      <c r="A53" s="18" t="inlineStr">
        <is>
          <t>• Cushion gas stays in the cavern permanently to keep it pressurised — only the working gas is usable.</t>
        </is>
      </c>
    </row>
    <row r="54">
      <c r="A54" s="18" t="inlineStr">
        <is>
          <t>• Abel-Noble EOS captures that hydrogen is ~10% LESS compressible than an ideal gas at these pressures (Z≈1.1).</t>
        </is>
      </c>
    </row>
    <row r="55">
      <c r="A55" s="18" t="inlineStr">
        <is>
          <t>• HHV vs LHV: HHV counts the latent heat of the water vapour from combustion; LHV (delivered energy) is the conservative one.</t>
        </is>
      </c>
    </row>
    <row r="56">
      <c r="A56" s="18" t="inlineStr">
        <is>
          <t>• Open in Excel or LibreOffice so the formulas calculate. Edit only the yellow cells.</t>
        </is>
      </c>
    </row>
  </sheetData>
  <mergeCells count="15">
    <mergeCell ref="A1:D1"/>
    <mergeCell ref="A56:D56"/>
    <mergeCell ref="A53:D53"/>
    <mergeCell ref="A11:D11"/>
    <mergeCell ref="A4:D4"/>
    <mergeCell ref="A30:D30"/>
    <mergeCell ref="A39:D39"/>
    <mergeCell ref="A54:D54"/>
    <mergeCell ref="A52:D52"/>
    <mergeCell ref="A55:D55"/>
    <mergeCell ref="A24:D24"/>
    <mergeCell ref="A19:D19"/>
    <mergeCell ref="A2:D2"/>
    <mergeCell ref="A51:D51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2026-06-25T10:29:02Z</dcterms:created>
  <dcterms:modified xmlns:dcterms="http://purl.org/dc/terms/" xmlns:xsi="http://www.w3.org/2001/XMLSchema-instance" xsi:type="dcterms:W3CDTF">2026-06-25T10:29:02Z</dcterms:modified>
</cp:coreProperties>
</file>